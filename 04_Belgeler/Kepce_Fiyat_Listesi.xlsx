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mai\Desktop\Kepçe\"/>
    </mc:Choice>
  </mc:AlternateContent>
  <xr:revisionPtr revIDLastSave="0" documentId="8_{C1CD83E6-224B-4B53-AA0E-677C5E7748A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iyat Listesi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2" i="1" l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39" i="1" s="1"/>
  <c r="H5" i="1"/>
  <c r="F5" i="1"/>
  <c r="H41" i="1" l="1"/>
  <c r="H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24" authorId="0" shapeId="0" xr:uid="{00000000-0006-0000-0000-000001000000}">
      <text>
        <r>
          <rPr>
            <sz val="10"/>
            <rFont val="Arial"/>
            <family val="2"/>
          </rPr>
          <t>Örnek: ✓ işaretli satır toplamdan düşer ve üstü çizilir.</t>
        </r>
      </text>
    </comment>
  </commentList>
</comments>
</file>

<file path=xl/sharedStrings.xml><?xml version="1.0" encoding="utf-8"?>
<sst xmlns="http://schemas.openxmlformats.org/spreadsheetml/2006/main" count="222" uniqueCount="108">
  <si>
    <t>Bluetooth Hidrolik Kepçe – Malzeme ve Fiyat Listesi</t>
  </si>
  <si>
    <t>Kullanım: 'Alındı / Var' sütununa ✓ seç (açılır liste). Tiklenen satır toplamdan düşer. Adet ve birim fiyat (mavi) değiştirilebilir. Fiyatlar KDV dahil, 23.10.2026 itibarıyla; 'TAHMİNİ' olanlar doğrulanmadı.</t>
  </si>
  <si>
    <t>No</t>
  </si>
  <si>
    <t>Kategori</t>
  </si>
  <si>
    <t>Parça</t>
  </si>
  <si>
    <t>Adet</t>
  </si>
  <si>
    <t>Birim Fiyat (TL)</t>
  </si>
  <si>
    <t>Tutar (TL)</t>
  </si>
  <si>
    <t>Alındı / Var</t>
  </si>
  <si>
    <t>Kalan Tutar (TL)</t>
  </si>
  <si>
    <t>Fiyat Durumu</t>
  </si>
  <si>
    <t>Satıcı</t>
  </si>
  <si>
    <t>Link</t>
  </si>
  <si>
    <t>Not</t>
  </si>
  <si>
    <t>Elektronik</t>
  </si>
  <si>
    <t>Arduino Mega 2560 R3 klon (CH340)</t>
  </si>
  <si>
    <t>Doğrulandı (23.10.2026)</t>
  </si>
  <si>
    <t>Robotistan</t>
  </si>
  <si>
    <t>Ürün sayfası</t>
  </si>
  <si>
    <t>Sayfada stok yok görünüyor</t>
  </si>
  <si>
    <t>HC-05 Bluetooth modülü</t>
  </si>
  <si>
    <t>Stok yok; başka sitelerde daha ucuz olabilir</t>
  </si>
  <si>
    <t>USB Host Shield (PS4 kol için)</t>
  </si>
  <si>
    <t>Stok yok</t>
  </si>
  <si>
    <t>USB Bluetooth 4.0 dongle (CSR)</t>
  </si>
  <si>
    <t>Ucuzbudur</t>
  </si>
  <si>
    <t>CSR8510 çipi satıcıdan teyit et</t>
  </si>
  <si>
    <t>PS4 DualShock 4 V2 kol</t>
  </si>
  <si>
    <t>Hepsiburada (Cimri en düşük)</t>
  </si>
  <si>
    <t>Orijinallik belirsiz; evde varsa tikle</t>
  </si>
  <si>
    <t>TB6612FNG çift motor sürücü</t>
  </si>
  <si>
    <t>2 sürüş + 2 itici/dönüş (L298N yerine)</t>
  </si>
  <si>
    <t>TT motor + tekerlek seti 6V 250 rpm</t>
  </si>
  <si>
    <t>Devre Dünyası</t>
  </si>
  <si>
    <t>Set = 1 motor + 1 Ø65 teker (modelde Ø68 kullanıldı)</t>
  </si>
  <si>
    <t>N20 6V 300 rpm redüktörlü motor (itici)</t>
  </si>
  <si>
    <t>Robo90</t>
  </si>
  <si>
    <t>N20 6V 30 rpm redüktörlü motor (kule dönüşü)</t>
  </si>
  <si>
    <t>Makaralı mikro limit switch</t>
  </si>
  <si>
    <t>Robotistan (IC172)</t>
  </si>
  <si>
    <t>Gövde ölçüsü sayfada yok; tasarım KW11 (12.8×5.8×6.5) varsayıyor</t>
  </si>
  <si>
    <t>Güç</t>
  </si>
  <si>
    <t>Samsung INR18650-25R 2500 mAh</t>
  </si>
  <si>
    <t>PilSitesi</t>
  </si>
  <si>
    <t>2S2P; sayfada tükendi</t>
  </si>
  <si>
    <t>2'li 18650 pil yuvası</t>
  </si>
  <si>
    <t>Seri bağlı olduğunu kontrol et</t>
  </si>
  <si>
    <t>18650 şarj aleti (2'li, USB)</t>
  </si>
  <si>
    <t>Hücreler dışarıda şarj edilir</t>
  </si>
  <si>
    <t>5V 3A regülatör LM2596-5V</t>
  </si>
  <si>
    <t>Mega + HC-05 + Host Shield beslemesi</t>
  </si>
  <si>
    <t>Açma-kapama anahtarı IC185</t>
  </si>
  <si>
    <t>Akım değeri sayfada yok</t>
  </si>
  <si>
    <t>Hat tipi sigorta yuvası + 5A sigorta</t>
  </si>
  <si>
    <t>TAHMİNİ – doğrulanmadı</t>
  </si>
  <si>
    <t>-</t>
  </si>
  <si>
    <t>Kablo</t>
  </si>
  <si>
    <t>Jumper kablo dişi-erkek 40'lı 20 cm</t>
  </si>
  <si>
    <t>Silikon kablo 22 AWG (kırmızı+siyah, 5 m)</t>
  </si>
  <si>
    <t>Motor ve güç hatları</t>
  </si>
  <si>
    <t>1000 µF kondansatör + 2× 10k direnç</t>
  </si>
  <si>
    <t>Pil gerilim ölçümü ve filtre</t>
  </si>
  <si>
    <t>Mekanik</t>
  </si>
  <si>
    <t>Akrilik 4WD şase (elde olan)</t>
  </si>
  <si>
    <t>✓</t>
  </si>
  <si>
    <t>Robolink</t>
  </si>
  <si>
    <t>Elde var</t>
  </si>
  <si>
    <t>Akrilik 4WD şase (2. kat)</t>
  </si>
  <si>
    <t>Sayfada tükendi</t>
  </si>
  <si>
    <t>M3 metal aralayıcı 50 mm dişi-erkek</t>
  </si>
  <si>
    <t>50+10 = 60 mm</t>
  </si>
  <si>
    <t>M3 metal aralayıcı 10 mm dişi-erkek</t>
  </si>
  <si>
    <t>M3 vida-somun-pul seti 220 parça</t>
  </si>
  <si>
    <t>Pul ölçüsü sayfada M4 yazıyor, kontrol et</t>
  </si>
  <si>
    <t>M4 diş çubuk (gijon) 1 m</t>
  </si>
  <si>
    <t>Aslan Cıvata</t>
  </si>
  <si>
    <t>3 parçaya kesilir (~160 mm)</t>
  </si>
  <si>
    <t>M4 somun (10 adet)</t>
  </si>
  <si>
    <t>Hırdavat</t>
  </si>
  <si>
    <t>Esnek kaplin 3→4 mm</t>
  </si>
  <si>
    <t>Yeşilköy Elektronik</t>
  </si>
  <si>
    <t>DİKKAT: sitede min. sipariş 10 adet</t>
  </si>
  <si>
    <t>Hidrolik</t>
  </si>
  <si>
    <t>Genject 10 cc enjektör</t>
  </si>
  <si>
    <t>Klinik</t>
  </si>
  <si>
    <t>Klinikten</t>
  </si>
  <si>
    <t>Şeffaf hortum 3×5 mm (metre)</t>
  </si>
  <si>
    <t>Elektronik Malzeme</t>
  </si>
  <si>
    <t>PVC; fiyat sayfada yok. Silikon tercih edilir</t>
  </si>
  <si>
    <t>Airsoft BB 6 mm 0.20 g (1000'li)</t>
  </si>
  <si>
    <t>Kolay Av</t>
  </si>
  <si>
    <t>Kule bilyesi (35 adet gerekli)</t>
  </si>
  <si>
    <t>3D Baskı</t>
  </si>
  <si>
    <t>Porima PLA 1.75 mm 1 kg</t>
  </si>
  <si>
    <t>Gres (bilye yolu ve mil)</t>
  </si>
  <si>
    <t>İsteğe bağlı</t>
  </si>
  <si>
    <t>Mukavva (bom/kol plakaları)</t>
  </si>
  <si>
    <t>Evde</t>
  </si>
  <si>
    <t>Genel toplam (tüm malzeme)</t>
  </si>
  <si>
    <t>Tiklenenler (alındı / var)</t>
  </si>
  <si>
    <t>ÖDENECEK KALAN TOPLAM</t>
  </si>
  <si>
    <t>Bunun tahmini fiyatlı kısmı</t>
  </si>
  <si>
    <t>Notlar:</t>
  </si>
  <si>
    <t>• Kargo ücretleri dahil değil (çoğu sitede 1.500 TL üzeri ücretsiz).</t>
  </si>
  <si>
    <t>• Birçok ürün sayfasında 'stok yok' görünüyor; alırken stok ve fiyatı tekrar kontrol et.</t>
  </si>
  <si>
    <t>• Kaplin satıcısında min. sipariş 10 adet; 3 adet satan başka satıcı aranmalı.</t>
  </si>
  <si>
    <t>• Limit switch ölçüsü tasarımdaki KW11 (12.8×5.8×6.5 mm) ile aynı olmayabilir; farklıysa yuvalar güncellenir.</t>
  </si>
  <si>
    <t>• Excel 365'te G sütununu gerçek onay kutusuna çevirebilirsin (Ekle → Onay Kutusu); formül TRUE değerini de tanır.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</si>
</sst>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₺&quot;"/>
  </numFmts>
  <fonts count="13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u/>
      <sz val="10"/>
      <color rgb="FF0563C1"/>
      <name val="Arial"/>
      <charset val="1"/>
    </font>
    <font>
      <b/>
      <sz val="10"/>
      <color rgb="FFC0000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sz val="9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Border="1" applyAlignment="1">
      <alignment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8" fillId="0" borderId="0" xfId="0" applyFont="1"/>
    <xf numFmtId="164" fontId="8" fillId="0" borderId="0" xfId="0" applyNumberFormat="1" applyFont="1"/>
    <xf numFmtId="0" fontId="9" fillId="4" borderId="0" xfId="0" applyFont="1" applyFill="1"/>
    <xf numFmtId="164" fontId="9" fillId="4" borderId="0" xfId="0" applyNumberFormat="1" applyFont="1" applyFill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1">
    <dxf>
      <font>
        <strike/>
        <color rgb="FF808080"/>
      </font>
      <fill>
        <patternFill>
          <bgColor rgb="FF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90.com/6v-12mm-300-rpm-reduktorlu-n20-mikro-dc-motor" TargetMode="External"/><Relationship Id="rId13" Type="http://schemas.openxmlformats.org/officeDocument/2006/relationships/hyperlink" Target="https://www.robotistan.com/li-ion-usb-18650-22650-26650-37v-battery-charger-dual-slot-en" TargetMode="External"/><Relationship Id="rId18" Type="http://schemas.openxmlformats.org/officeDocument/2006/relationships/hyperlink" Target="https://www.robolinkmarket.com/akrilik-sase-4wd-robot-araba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https://www.robotistan.com/usb-host-shield-for-arduino" TargetMode="External"/><Relationship Id="rId21" Type="http://schemas.openxmlformats.org/officeDocument/2006/relationships/hyperlink" Target="https://www.aslancivata.com/urun/1710_galvanizli-gijon-saplama-tij-m4-1-metre-din-975" TargetMode="External"/><Relationship Id="rId7" Type="http://schemas.openxmlformats.org/officeDocument/2006/relationships/hyperlink" Target="https://www.devredunyasi.com/urun/6v-250-rpm-sari-motor-ve-tekerlek-seti" TargetMode="External"/><Relationship Id="rId12" Type="http://schemas.openxmlformats.org/officeDocument/2006/relationships/hyperlink" Target="https://www.robotistan.com/dual-battery-holder-for-18650-battery-18650-2" TargetMode="External"/><Relationship Id="rId17" Type="http://schemas.openxmlformats.org/officeDocument/2006/relationships/hyperlink" Target="https://www.robolinkmarket.com/akrilik-sase-4wd-robot-araba" TargetMode="External"/><Relationship Id="rId25" Type="http://schemas.openxmlformats.org/officeDocument/2006/relationships/hyperlink" Target="https://www.robotistan.com/porima-3d-175-mm-pla-filament-black" TargetMode="External"/><Relationship Id="rId2" Type="http://schemas.openxmlformats.org/officeDocument/2006/relationships/hyperlink" Target="https://www.robotistan.com/hc05-serial-port-bluetooth-module-bc417" TargetMode="External"/><Relationship Id="rId16" Type="http://schemas.openxmlformats.org/officeDocument/2006/relationships/hyperlink" Target="https://www.robotistan.com/40-pin-ayrilabilen-disi-erkek-m-f-jumper-kablo-200-mm" TargetMode="External"/><Relationship Id="rId20" Type="http://schemas.openxmlformats.org/officeDocument/2006/relationships/hyperlink" Target="https://www.robolinkmarket.com/m3-ysb-vida-somun-ve-pul-seti-220-parca" TargetMode="External"/><Relationship Id="rId1" Type="http://schemas.openxmlformats.org/officeDocument/2006/relationships/hyperlink" Target="https://www.robotistan.com/mega-2560-r3-development-board-compatible-with-arduino" TargetMode="External"/><Relationship Id="rId6" Type="http://schemas.openxmlformats.org/officeDocument/2006/relationships/hyperlink" Target="https://www.robotistan.com/tb6612fng-stepper-motor-dc-motor-driver" TargetMode="External"/><Relationship Id="rId11" Type="http://schemas.openxmlformats.org/officeDocument/2006/relationships/hyperlink" Target="https://www.pilsitesi.com/samsung-inr18650-25r-3.7v-2500mah-sarj-edilebilir-li-ion-pil" TargetMode="External"/><Relationship Id="rId24" Type="http://schemas.openxmlformats.org/officeDocument/2006/relationships/hyperlink" Target="https://www.kolayav.com/urun/airsoft-mermi-bb-0-20gr-6mm-1000-adet" TargetMode="External"/><Relationship Id="rId5" Type="http://schemas.openxmlformats.org/officeDocument/2006/relationships/hyperlink" Target="https://www.cimri.com/konsol-aksesuarlari/en-ucuz-sony-ps4-dualshock-v2-siyah-gamepad-fiyatlari,103111778" TargetMode="External"/><Relationship Id="rId15" Type="http://schemas.openxmlformats.org/officeDocument/2006/relationships/hyperlink" Target="https://www.robotistan.com/ic185-plastic-switch-black" TargetMode="External"/><Relationship Id="rId23" Type="http://schemas.openxmlformats.org/officeDocument/2006/relationships/hyperlink" Target="https://www.elektronikmalzeme.com/ince-deney-hortumu-3-5mm" TargetMode="External"/><Relationship Id="rId10" Type="http://schemas.openxmlformats.org/officeDocument/2006/relationships/hyperlink" Target="https://www.robotistan.com/ic172-micro-switch-with-short-pulley" TargetMode="External"/><Relationship Id="rId19" Type="http://schemas.openxmlformats.org/officeDocument/2006/relationships/hyperlink" Target="https://www.robotistan.com/50mm-m3-metal-female-male-spacer-standoff" TargetMode="External"/><Relationship Id="rId4" Type="http://schemas.openxmlformats.org/officeDocument/2006/relationships/hyperlink" Target="https://www.ucuzbudur.com/4-0-bluetooth-csr-4-0-dongle-an-7036" TargetMode="External"/><Relationship Id="rId9" Type="http://schemas.openxmlformats.org/officeDocument/2006/relationships/hyperlink" Target="https://www.robotistan.com/6v-12mm-with-rpm-min30" TargetMode="External"/><Relationship Id="rId14" Type="http://schemas.openxmlformats.org/officeDocument/2006/relationships/hyperlink" Target="https://www.robotistan.com/5v-3a-voltaj-regulator-karti-lm2596-5v" TargetMode="External"/><Relationship Id="rId22" Type="http://schemas.openxmlformats.org/officeDocument/2006/relationships/hyperlink" Target="https://www.yesilkoyelektronik.com/rulman/13555-3x4mm-esnek-uzatma-kaplini-esnek-kaplin-sahraardsft02.html" TargetMode="External"/><Relationship Id="rId27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Normal="100" workbookViewId="0">
      <pane xSplit="3" ySplit="4" topLeftCell="D23" activePane="bottomRight" state="frozen"/>
      <selection pane="topRight" activeCell="D1" sqref="D1"/>
      <selection pane="bottomLeft" activeCell="A5" sqref="A5"/>
      <selection pane="bottomRight" activeCell="G21" sqref="G21"/>
    </sheetView>
  </sheetViews>
  <sheetFormatPr defaultColWidth="8.6640625" defaultRowHeight="14.4" x14ac:dyDescent="0.3"/>
  <cols>
    <col min="1" max="1" width="5" customWidth="1"/>
    <col min="2" max="2" width="11" customWidth="1"/>
    <col min="3" max="3" width="42" customWidth="1"/>
    <col min="4" max="4" width="6" customWidth="1"/>
    <col min="5" max="5" width="15" customWidth="1"/>
    <col min="6" max="6" width="14" customWidth="1"/>
    <col min="7" max="7" width="11" customWidth="1"/>
    <col min="8" max="8" width="16" customWidth="1"/>
    <col min="9" max="9" width="22" customWidth="1"/>
    <col min="10" max="10" width="24" customWidth="1"/>
    <col min="11" max="11" width="14" customWidth="1"/>
    <col min="12" max="12" width="48" customWidth="1"/>
  </cols>
  <sheetData>
    <row r="1" spans="1:12" ht="17.399999999999999" x14ac:dyDescent="0.3">
      <c r="A1" s="2" t="s">
        <v>0</v>
      </c>
    </row>
    <row r="2" spans="1:12" ht="30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27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3">
      <c r="A5" s="4">
        <v>1</v>
      </c>
      <c r="B5" s="4" t="s">
        <v>14</v>
      </c>
      <c r="C5" s="4" t="s">
        <v>15</v>
      </c>
      <c r="D5" s="5">
        <v>1</v>
      </c>
      <c r="E5" s="6">
        <v>1031.76</v>
      </c>
      <c r="F5" s="7">
        <f t="shared" ref="F5:F37" si="0">D5*E5</f>
        <v>1031.76</v>
      </c>
      <c r="G5" s="8" t="s">
        <v>64</v>
      </c>
      <c r="H5" s="7">
        <f t="shared" ref="H5:H37" si="1">IF(OR(G5="✓",G5=TRUE()),0,F5)</f>
        <v>0</v>
      </c>
      <c r="I5" s="4" t="s">
        <v>16</v>
      </c>
      <c r="J5" s="4" t="s">
        <v>17</v>
      </c>
      <c r="K5" s="9" t="s">
        <v>18</v>
      </c>
      <c r="L5" s="4" t="s">
        <v>19</v>
      </c>
    </row>
    <row r="6" spans="1:12" x14ac:dyDescent="0.3">
      <c r="A6" s="4">
        <v>2</v>
      </c>
      <c r="B6" s="4" t="s">
        <v>14</v>
      </c>
      <c r="C6" s="4" t="s">
        <v>20</v>
      </c>
      <c r="D6" s="5">
        <v>1</v>
      </c>
      <c r="E6" s="6">
        <v>480.2</v>
      </c>
      <c r="F6" s="7">
        <f t="shared" si="0"/>
        <v>480.2</v>
      </c>
      <c r="G6" s="8" t="s">
        <v>64</v>
      </c>
      <c r="H6" s="7">
        <f t="shared" si="1"/>
        <v>0</v>
      </c>
      <c r="I6" s="4" t="s">
        <v>16</v>
      </c>
      <c r="J6" s="4" t="s">
        <v>17</v>
      </c>
      <c r="K6" s="9" t="s">
        <v>18</v>
      </c>
      <c r="L6" s="4" t="s">
        <v>21</v>
      </c>
    </row>
    <row r="7" spans="1:12" x14ac:dyDescent="0.3">
      <c r="A7" s="4">
        <v>3</v>
      </c>
      <c r="B7" s="4" t="s">
        <v>14</v>
      </c>
      <c r="C7" s="4" t="s">
        <v>22</v>
      </c>
      <c r="D7" s="5">
        <v>1</v>
      </c>
      <c r="E7" s="6">
        <v>486.25</v>
      </c>
      <c r="F7" s="7">
        <f t="shared" si="0"/>
        <v>486.25</v>
      </c>
      <c r="G7" s="8"/>
      <c r="H7" s="7">
        <f t="shared" si="1"/>
        <v>486.25</v>
      </c>
      <c r="I7" s="4" t="s">
        <v>16</v>
      </c>
      <c r="J7" s="4" t="s">
        <v>17</v>
      </c>
      <c r="K7" s="9" t="s">
        <v>18</v>
      </c>
      <c r="L7" s="4" t="s">
        <v>23</v>
      </c>
    </row>
    <row r="8" spans="1:12" x14ac:dyDescent="0.3">
      <c r="A8" s="4">
        <v>4</v>
      </c>
      <c r="B8" s="4" t="s">
        <v>14</v>
      </c>
      <c r="C8" s="4" t="s">
        <v>24</v>
      </c>
      <c r="D8" s="5">
        <v>1</v>
      </c>
      <c r="E8" s="6">
        <v>79</v>
      </c>
      <c r="F8" s="7">
        <f t="shared" si="0"/>
        <v>79</v>
      </c>
      <c r="G8" s="8" t="s">
        <v>64</v>
      </c>
      <c r="H8" s="7">
        <f t="shared" si="1"/>
        <v>0</v>
      </c>
      <c r="I8" s="4" t="s">
        <v>16</v>
      </c>
      <c r="J8" s="4" t="s">
        <v>25</v>
      </c>
      <c r="K8" s="9" t="s">
        <v>18</v>
      </c>
      <c r="L8" s="4" t="s">
        <v>26</v>
      </c>
    </row>
    <row r="9" spans="1:12" x14ac:dyDescent="0.3">
      <c r="A9" s="4">
        <v>5</v>
      </c>
      <c r="B9" s="4" t="s">
        <v>14</v>
      </c>
      <c r="C9" s="4" t="s">
        <v>27</v>
      </c>
      <c r="D9" s="5">
        <v>1</v>
      </c>
      <c r="E9" s="6">
        <v>699</v>
      </c>
      <c r="F9" s="7">
        <f t="shared" si="0"/>
        <v>699</v>
      </c>
      <c r="G9" s="8" t="s">
        <v>64</v>
      </c>
      <c r="H9" s="7">
        <f t="shared" si="1"/>
        <v>0</v>
      </c>
      <c r="I9" s="4" t="s">
        <v>16</v>
      </c>
      <c r="J9" s="4" t="s">
        <v>28</v>
      </c>
      <c r="K9" s="9" t="s">
        <v>18</v>
      </c>
      <c r="L9" s="4" t="s">
        <v>29</v>
      </c>
    </row>
    <row r="10" spans="1:12" x14ac:dyDescent="0.3">
      <c r="A10" s="4">
        <v>6</v>
      </c>
      <c r="B10" s="4" t="s">
        <v>14</v>
      </c>
      <c r="C10" s="4" t="s">
        <v>30</v>
      </c>
      <c r="D10" s="5">
        <v>4</v>
      </c>
      <c r="E10" s="6">
        <v>101.75</v>
      </c>
      <c r="F10" s="7">
        <f t="shared" si="0"/>
        <v>407</v>
      </c>
      <c r="G10" s="8"/>
      <c r="H10" s="7">
        <f t="shared" si="1"/>
        <v>407</v>
      </c>
      <c r="I10" s="4" t="s">
        <v>16</v>
      </c>
      <c r="J10" s="4" t="s">
        <v>17</v>
      </c>
      <c r="K10" s="9" t="s">
        <v>18</v>
      </c>
      <c r="L10" s="4" t="s">
        <v>31</v>
      </c>
    </row>
    <row r="11" spans="1:12" x14ac:dyDescent="0.3">
      <c r="A11" s="4">
        <v>7</v>
      </c>
      <c r="B11" s="4" t="s">
        <v>14</v>
      </c>
      <c r="C11" s="4" t="s">
        <v>32</v>
      </c>
      <c r="D11" s="5">
        <v>4</v>
      </c>
      <c r="E11" s="6">
        <v>149.19</v>
      </c>
      <c r="F11" s="7">
        <f t="shared" si="0"/>
        <v>596.76</v>
      </c>
      <c r="G11" s="8" t="s">
        <v>64</v>
      </c>
      <c r="H11" s="7">
        <f t="shared" si="1"/>
        <v>0</v>
      </c>
      <c r="I11" s="4" t="s">
        <v>16</v>
      </c>
      <c r="J11" s="4" t="s">
        <v>33</v>
      </c>
      <c r="K11" s="9" t="s">
        <v>18</v>
      </c>
      <c r="L11" s="4" t="s">
        <v>34</v>
      </c>
    </row>
    <row r="12" spans="1:12" x14ac:dyDescent="0.3">
      <c r="A12" s="4">
        <v>8</v>
      </c>
      <c r="B12" s="4" t="s">
        <v>14</v>
      </c>
      <c r="C12" s="4" t="s">
        <v>35</v>
      </c>
      <c r="D12" s="5">
        <v>3</v>
      </c>
      <c r="E12" s="6">
        <v>178.56</v>
      </c>
      <c r="F12" s="7">
        <f t="shared" si="0"/>
        <v>535.68000000000006</v>
      </c>
      <c r="G12" s="8"/>
      <c r="H12" s="7">
        <f t="shared" si="1"/>
        <v>535.68000000000006</v>
      </c>
      <c r="I12" s="4" t="s">
        <v>16</v>
      </c>
      <c r="J12" s="4" t="s">
        <v>36</v>
      </c>
      <c r="K12" s="9" t="s">
        <v>18</v>
      </c>
      <c r="L12" s="4" t="s">
        <v>23</v>
      </c>
    </row>
    <row r="13" spans="1:12" x14ac:dyDescent="0.3">
      <c r="A13" s="4">
        <v>9</v>
      </c>
      <c r="B13" s="4" t="s">
        <v>14</v>
      </c>
      <c r="C13" s="4" t="s">
        <v>37</v>
      </c>
      <c r="D13" s="5">
        <v>1</v>
      </c>
      <c r="E13" s="6">
        <v>158.76</v>
      </c>
      <c r="F13" s="7">
        <f t="shared" si="0"/>
        <v>158.76</v>
      </c>
      <c r="G13" s="8"/>
      <c r="H13" s="7">
        <f t="shared" si="1"/>
        <v>158.76</v>
      </c>
      <c r="I13" s="4" t="s">
        <v>16</v>
      </c>
      <c r="J13" s="4" t="s">
        <v>17</v>
      </c>
      <c r="K13" s="9" t="s">
        <v>18</v>
      </c>
      <c r="L13" s="4" t="s">
        <v>23</v>
      </c>
    </row>
    <row r="14" spans="1:12" x14ac:dyDescent="0.3">
      <c r="A14" s="4">
        <v>10</v>
      </c>
      <c r="B14" s="4" t="s">
        <v>14</v>
      </c>
      <c r="C14" s="4" t="s">
        <v>38</v>
      </c>
      <c r="D14" s="5">
        <v>7</v>
      </c>
      <c r="E14" s="6">
        <v>41.38</v>
      </c>
      <c r="F14" s="7">
        <f t="shared" si="0"/>
        <v>289.66000000000003</v>
      </c>
      <c r="G14" s="8"/>
      <c r="H14" s="7">
        <f t="shared" si="1"/>
        <v>289.66000000000003</v>
      </c>
      <c r="I14" s="4" t="s">
        <v>16</v>
      </c>
      <c r="J14" s="4" t="s">
        <v>39</v>
      </c>
      <c r="K14" s="9" t="s">
        <v>18</v>
      </c>
      <c r="L14" s="4" t="s">
        <v>40</v>
      </c>
    </row>
    <row r="15" spans="1:12" x14ac:dyDescent="0.3">
      <c r="A15" s="4">
        <v>11</v>
      </c>
      <c r="B15" s="4" t="s">
        <v>41</v>
      </c>
      <c r="C15" s="4" t="s">
        <v>42</v>
      </c>
      <c r="D15" s="5">
        <v>4</v>
      </c>
      <c r="E15" s="6">
        <v>467</v>
      </c>
      <c r="F15" s="7">
        <f t="shared" si="0"/>
        <v>1868</v>
      </c>
      <c r="G15" s="8" t="s">
        <v>64</v>
      </c>
      <c r="H15" s="7">
        <f t="shared" si="1"/>
        <v>0</v>
      </c>
      <c r="I15" s="4" t="s">
        <v>16</v>
      </c>
      <c r="J15" s="4" t="s">
        <v>43</v>
      </c>
      <c r="K15" s="9" t="s">
        <v>18</v>
      </c>
      <c r="L15" s="4" t="s">
        <v>44</v>
      </c>
    </row>
    <row r="16" spans="1:12" x14ac:dyDescent="0.3">
      <c r="A16" s="4">
        <v>12</v>
      </c>
      <c r="B16" s="4" t="s">
        <v>41</v>
      </c>
      <c r="C16" s="4" t="s">
        <v>45</v>
      </c>
      <c r="D16" s="5">
        <v>2</v>
      </c>
      <c r="E16" s="6">
        <v>19.75</v>
      </c>
      <c r="F16" s="7">
        <f t="shared" si="0"/>
        <v>39.5</v>
      </c>
      <c r="G16" s="8" t="s">
        <v>64</v>
      </c>
      <c r="H16" s="7">
        <f t="shared" si="1"/>
        <v>0</v>
      </c>
      <c r="I16" s="4" t="s">
        <v>16</v>
      </c>
      <c r="J16" s="4" t="s">
        <v>17</v>
      </c>
      <c r="K16" s="9" t="s">
        <v>18</v>
      </c>
      <c r="L16" s="4" t="s">
        <v>46</v>
      </c>
    </row>
    <row r="17" spans="1:12" x14ac:dyDescent="0.3">
      <c r="A17" s="4">
        <v>13</v>
      </c>
      <c r="B17" s="4" t="s">
        <v>41</v>
      </c>
      <c r="C17" s="4" t="s">
        <v>47</v>
      </c>
      <c r="D17" s="5">
        <v>1</v>
      </c>
      <c r="E17" s="6">
        <v>382.83</v>
      </c>
      <c r="F17" s="7">
        <f t="shared" si="0"/>
        <v>382.83</v>
      </c>
      <c r="G17" s="8"/>
      <c r="H17" s="7">
        <f t="shared" si="1"/>
        <v>382.83</v>
      </c>
      <c r="I17" s="4" t="s">
        <v>16</v>
      </c>
      <c r="J17" s="4" t="s">
        <v>17</v>
      </c>
      <c r="K17" s="9" t="s">
        <v>18</v>
      </c>
      <c r="L17" s="4" t="s">
        <v>48</v>
      </c>
    </row>
    <row r="18" spans="1:12" x14ac:dyDescent="0.3">
      <c r="A18" s="4">
        <v>14</v>
      </c>
      <c r="B18" s="4" t="s">
        <v>41</v>
      </c>
      <c r="C18" s="4" t="s">
        <v>49</v>
      </c>
      <c r="D18" s="5">
        <v>1</v>
      </c>
      <c r="E18" s="6">
        <v>134.93</v>
      </c>
      <c r="F18" s="7">
        <f t="shared" si="0"/>
        <v>134.93</v>
      </c>
      <c r="G18" s="8"/>
      <c r="H18" s="7">
        <f t="shared" si="1"/>
        <v>134.93</v>
      </c>
      <c r="I18" s="4" t="s">
        <v>16</v>
      </c>
      <c r="J18" s="4" t="s">
        <v>17</v>
      </c>
      <c r="K18" s="9" t="s">
        <v>18</v>
      </c>
      <c r="L18" s="4" t="s">
        <v>50</v>
      </c>
    </row>
    <row r="19" spans="1:12" x14ac:dyDescent="0.3">
      <c r="A19" s="4">
        <v>15</v>
      </c>
      <c r="B19" s="4" t="s">
        <v>41</v>
      </c>
      <c r="C19" s="4" t="s">
        <v>51</v>
      </c>
      <c r="D19" s="5">
        <v>1</v>
      </c>
      <c r="E19" s="6">
        <v>15.48</v>
      </c>
      <c r="F19" s="7">
        <f t="shared" si="0"/>
        <v>15.48</v>
      </c>
      <c r="G19" s="8"/>
      <c r="H19" s="7">
        <f t="shared" si="1"/>
        <v>15.48</v>
      </c>
      <c r="I19" s="4" t="s">
        <v>16</v>
      </c>
      <c r="J19" s="4" t="s">
        <v>17</v>
      </c>
      <c r="K19" s="9" t="s">
        <v>18</v>
      </c>
      <c r="L19" s="4" t="s">
        <v>52</v>
      </c>
    </row>
    <row r="20" spans="1:12" x14ac:dyDescent="0.3">
      <c r="A20" s="4">
        <v>16</v>
      </c>
      <c r="B20" s="4" t="s">
        <v>41</v>
      </c>
      <c r="C20" s="4" t="s">
        <v>53</v>
      </c>
      <c r="D20" s="5">
        <v>1</v>
      </c>
      <c r="E20" s="6">
        <v>30</v>
      </c>
      <c r="F20" s="7">
        <f t="shared" si="0"/>
        <v>30</v>
      </c>
      <c r="G20" s="8"/>
      <c r="H20" s="7">
        <f t="shared" si="1"/>
        <v>30</v>
      </c>
      <c r="I20" s="10" t="s">
        <v>54</v>
      </c>
      <c r="J20" s="4" t="s">
        <v>55</v>
      </c>
      <c r="K20" s="4"/>
      <c r="L20" s="4"/>
    </row>
    <row r="21" spans="1:12" x14ac:dyDescent="0.3">
      <c r="A21" s="4">
        <v>17</v>
      </c>
      <c r="B21" s="4" t="s">
        <v>56</v>
      </c>
      <c r="C21" s="4" t="s">
        <v>57</v>
      </c>
      <c r="D21" s="5">
        <v>2</v>
      </c>
      <c r="E21" s="6">
        <v>43.28</v>
      </c>
      <c r="F21" s="7">
        <f t="shared" si="0"/>
        <v>86.56</v>
      </c>
      <c r="G21" s="8" t="s">
        <v>64</v>
      </c>
      <c r="H21" s="7">
        <f t="shared" si="1"/>
        <v>0</v>
      </c>
      <c r="I21" s="4" t="s">
        <v>16</v>
      </c>
      <c r="J21" s="4" t="s">
        <v>17</v>
      </c>
      <c r="K21" s="9" t="s">
        <v>18</v>
      </c>
      <c r="L21" s="4"/>
    </row>
    <row r="22" spans="1:12" x14ac:dyDescent="0.3">
      <c r="A22" s="4">
        <v>18</v>
      </c>
      <c r="B22" s="4" t="s">
        <v>56</v>
      </c>
      <c r="C22" s="4" t="s">
        <v>58</v>
      </c>
      <c r="D22" s="5">
        <v>1</v>
      </c>
      <c r="E22" s="6">
        <v>80</v>
      </c>
      <c r="F22" s="7">
        <f t="shared" si="0"/>
        <v>80</v>
      </c>
      <c r="G22" s="8"/>
      <c r="H22" s="7">
        <f t="shared" si="1"/>
        <v>80</v>
      </c>
      <c r="I22" s="10" t="s">
        <v>54</v>
      </c>
      <c r="J22" s="4" t="s">
        <v>55</v>
      </c>
      <c r="K22" s="4"/>
      <c r="L22" s="4" t="s">
        <v>59</v>
      </c>
    </row>
    <row r="23" spans="1:12" x14ac:dyDescent="0.3">
      <c r="A23" s="4">
        <v>19</v>
      </c>
      <c r="B23" s="4" t="s">
        <v>56</v>
      </c>
      <c r="C23" s="4" t="s">
        <v>60</v>
      </c>
      <c r="D23" s="5">
        <v>1</v>
      </c>
      <c r="E23" s="6">
        <v>20</v>
      </c>
      <c r="F23" s="7">
        <f t="shared" si="0"/>
        <v>20</v>
      </c>
      <c r="G23" s="8"/>
      <c r="H23" s="7">
        <f t="shared" si="1"/>
        <v>20</v>
      </c>
      <c r="I23" s="10" t="s">
        <v>54</v>
      </c>
      <c r="J23" s="4" t="s">
        <v>55</v>
      </c>
      <c r="K23" s="4"/>
      <c r="L23" s="4" t="s">
        <v>61</v>
      </c>
    </row>
    <row r="24" spans="1:12" x14ac:dyDescent="0.3">
      <c r="A24" s="4">
        <v>20</v>
      </c>
      <c r="B24" s="4" t="s">
        <v>62</v>
      </c>
      <c r="C24" s="4" t="s">
        <v>63</v>
      </c>
      <c r="D24" s="5">
        <v>1</v>
      </c>
      <c r="E24" s="6">
        <v>150</v>
      </c>
      <c r="F24" s="7">
        <f t="shared" si="0"/>
        <v>150</v>
      </c>
      <c r="G24" s="8" t="s">
        <v>64</v>
      </c>
      <c r="H24" s="7">
        <f t="shared" si="1"/>
        <v>0</v>
      </c>
      <c r="I24" s="4" t="s">
        <v>16</v>
      </c>
      <c r="J24" s="4" t="s">
        <v>65</v>
      </c>
      <c r="K24" s="9" t="s">
        <v>18</v>
      </c>
      <c r="L24" s="4" t="s">
        <v>66</v>
      </c>
    </row>
    <row r="25" spans="1:12" x14ac:dyDescent="0.3">
      <c r="A25" s="4">
        <v>21</v>
      </c>
      <c r="B25" s="4" t="s">
        <v>62</v>
      </c>
      <c r="C25" s="4" t="s">
        <v>67</v>
      </c>
      <c r="D25" s="5">
        <v>1</v>
      </c>
      <c r="E25" s="6">
        <v>150</v>
      </c>
      <c r="F25" s="7">
        <f t="shared" si="0"/>
        <v>150</v>
      </c>
      <c r="G25" s="8" t="s">
        <v>64</v>
      </c>
      <c r="H25" s="7">
        <f t="shared" si="1"/>
        <v>0</v>
      </c>
      <c r="I25" s="4" t="s">
        <v>16</v>
      </c>
      <c r="J25" s="4" t="s">
        <v>65</v>
      </c>
      <c r="K25" s="9" t="s">
        <v>18</v>
      </c>
      <c r="L25" s="4" t="s">
        <v>68</v>
      </c>
    </row>
    <row r="26" spans="1:12" x14ac:dyDescent="0.3">
      <c r="A26" s="4">
        <v>22</v>
      </c>
      <c r="B26" s="4" t="s">
        <v>62</v>
      </c>
      <c r="C26" s="4" t="s">
        <v>69</v>
      </c>
      <c r="D26" s="5">
        <v>6</v>
      </c>
      <c r="E26" s="6">
        <v>17.440000000000001</v>
      </c>
      <c r="F26" s="7">
        <f t="shared" si="0"/>
        <v>104.64000000000001</v>
      </c>
      <c r="G26" s="8"/>
      <c r="H26" s="7">
        <f t="shared" si="1"/>
        <v>104.64000000000001</v>
      </c>
      <c r="I26" s="4" t="s">
        <v>16</v>
      </c>
      <c r="J26" s="4" t="s">
        <v>17</v>
      </c>
      <c r="K26" s="9" t="s">
        <v>18</v>
      </c>
      <c r="L26" s="4" t="s">
        <v>70</v>
      </c>
    </row>
    <row r="27" spans="1:12" x14ac:dyDescent="0.3">
      <c r="A27" s="4">
        <v>23</v>
      </c>
      <c r="B27" s="4" t="s">
        <v>62</v>
      </c>
      <c r="C27" s="4" t="s">
        <v>71</v>
      </c>
      <c r="D27" s="5">
        <v>6</v>
      </c>
      <c r="E27" s="6">
        <v>8</v>
      </c>
      <c r="F27" s="7">
        <f t="shared" si="0"/>
        <v>48</v>
      </c>
      <c r="G27" s="8"/>
      <c r="H27" s="7">
        <f t="shared" si="1"/>
        <v>48</v>
      </c>
      <c r="I27" s="10" t="s">
        <v>54</v>
      </c>
      <c r="J27" s="4" t="s">
        <v>17</v>
      </c>
      <c r="K27" s="4"/>
      <c r="L27" s="4" t="s">
        <v>70</v>
      </c>
    </row>
    <row r="28" spans="1:12" x14ac:dyDescent="0.3">
      <c r="A28" s="4">
        <v>24</v>
      </c>
      <c r="B28" s="4" t="s">
        <v>62</v>
      </c>
      <c r="C28" s="4" t="s">
        <v>72</v>
      </c>
      <c r="D28" s="5">
        <v>1</v>
      </c>
      <c r="E28" s="6">
        <v>417</v>
      </c>
      <c r="F28" s="7">
        <f t="shared" si="0"/>
        <v>417</v>
      </c>
      <c r="G28" s="8"/>
      <c r="H28" s="7">
        <f t="shared" si="1"/>
        <v>417</v>
      </c>
      <c r="I28" s="4" t="s">
        <v>16</v>
      </c>
      <c r="J28" s="4" t="s">
        <v>65</v>
      </c>
      <c r="K28" s="9" t="s">
        <v>18</v>
      </c>
      <c r="L28" s="4" t="s">
        <v>73</v>
      </c>
    </row>
    <row r="29" spans="1:12" x14ac:dyDescent="0.3">
      <c r="A29" s="4">
        <v>25</v>
      </c>
      <c r="B29" s="4" t="s">
        <v>62</v>
      </c>
      <c r="C29" s="4" t="s">
        <v>74</v>
      </c>
      <c r="D29" s="5">
        <v>1</v>
      </c>
      <c r="E29" s="6">
        <v>150</v>
      </c>
      <c r="F29" s="7">
        <f t="shared" si="0"/>
        <v>150</v>
      </c>
      <c r="G29" s="8"/>
      <c r="H29" s="7">
        <f t="shared" si="1"/>
        <v>150</v>
      </c>
      <c r="I29" s="4" t="s">
        <v>16</v>
      </c>
      <c r="J29" s="4" t="s">
        <v>75</v>
      </c>
      <c r="K29" s="9" t="s">
        <v>18</v>
      </c>
      <c r="L29" s="4" t="s">
        <v>76</v>
      </c>
    </row>
    <row r="30" spans="1:12" x14ac:dyDescent="0.3">
      <c r="A30" s="4">
        <v>26</v>
      </c>
      <c r="B30" s="4" t="s">
        <v>62</v>
      </c>
      <c r="C30" s="4" t="s">
        <v>77</v>
      </c>
      <c r="D30" s="5">
        <v>1</v>
      </c>
      <c r="E30" s="6">
        <v>25</v>
      </c>
      <c r="F30" s="7">
        <f t="shared" si="0"/>
        <v>25</v>
      </c>
      <c r="G30" s="8"/>
      <c r="H30" s="7">
        <f t="shared" si="1"/>
        <v>25</v>
      </c>
      <c r="I30" s="10" t="s">
        <v>54</v>
      </c>
      <c r="J30" s="4" t="s">
        <v>78</v>
      </c>
      <c r="K30" s="4"/>
      <c r="L30" s="4"/>
    </row>
    <row r="31" spans="1:12" x14ac:dyDescent="0.3">
      <c r="A31" s="4">
        <v>27</v>
      </c>
      <c r="B31" s="4" t="s">
        <v>62</v>
      </c>
      <c r="C31" s="4" t="s">
        <v>79</v>
      </c>
      <c r="D31" s="5">
        <v>3</v>
      </c>
      <c r="E31" s="6">
        <v>105</v>
      </c>
      <c r="F31" s="7">
        <f t="shared" si="0"/>
        <v>315</v>
      </c>
      <c r="G31" s="8"/>
      <c r="H31" s="7">
        <f t="shared" si="1"/>
        <v>315</v>
      </c>
      <c r="I31" s="4" t="s">
        <v>16</v>
      </c>
      <c r="J31" s="4" t="s">
        <v>80</v>
      </c>
      <c r="K31" s="9" t="s">
        <v>18</v>
      </c>
      <c r="L31" s="4" t="s">
        <v>81</v>
      </c>
    </row>
    <row r="32" spans="1:12" x14ac:dyDescent="0.3">
      <c r="A32" s="4">
        <v>28</v>
      </c>
      <c r="B32" s="4" t="s">
        <v>82</v>
      </c>
      <c r="C32" s="4" t="s">
        <v>83</v>
      </c>
      <c r="D32" s="5">
        <v>6</v>
      </c>
      <c r="E32" s="6">
        <v>0</v>
      </c>
      <c r="F32" s="7">
        <f t="shared" si="0"/>
        <v>0</v>
      </c>
      <c r="G32" s="8" t="s">
        <v>64</v>
      </c>
      <c r="H32" s="7">
        <f t="shared" si="1"/>
        <v>0</v>
      </c>
      <c r="I32" s="10" t="s">
        <v>54</v>
      </c>
      <c r="J32" s="4" t="s">
        <v>84</v>
      </c>
      <c r="K32" s="4"/>
      <c r="L32" s="4" t="s">
        <v>85</v>
      </c>
    </row>
    <row r="33" spans="1:12" x14ac:dyDescent="0.3">
      <c r="A33" s="4">
        <v>29</v>
      </c>
      <c r="B33" s="4" t="s">
        <v>82</v>
      </c>
      <c r="C33" s="4" t="s">
        <v>86</v>
      </c>
      <c r="D33" s="5">
        <v>2</v>
      </c>
      <c r="E33" s="6">
        <v>40</v>
      </c>
      <c r="F33" s="7">
        <f t="shared" si="0"/>
        <v>80</v>
      </c>
      <c r="G33" s="8"/>
      <c r="H33" s="7">
        <f t="shared" si="1"/>
        <v>80</v>
      </c>
      <c r="I33" s="10" t="s">
        <v>54</v>
      </c>
      <c r="J33" s="4" t="s">
        <v>87</v>
      </c>
      <c r="K33" s="9" t="s">
        <v>18</v>
      </c>
      <c r="L33" s="4" t="s">
        <v>88</v>
      </c>
    </row>
    <row r="34" spans="1:12" x14ac:dyDescent="0.3">
      <c r="A34" s="4">
        <v>30</v>
      </c>
      <c r="B34" s="4" t="s">
        <v>62</v>
      </c>
      <c r="C34" s="4" t="s">
        <v>89</v>
      </c>
      <c r="D34" s="5">
        <v>1</v>
      </c>
      <c r="E34" s="6">
        <v>120</v>
      </c>
      <c r="F34" s="7">
        <f t="shared" si="0"/>
        <v>120</v>
      </c>
      <c r="G34" s="8"/>
      <c r="H34" s="7">
        <f t="shared" si="1"/>
        <v>120</v>
      </c>
      <c r="I34" s="4" t="s">
        <v>16</v>
      </c>
      <c r="J34" s="4" t="s">
        <v>90</v>
      </c>
      <c r="K34" s="9" t="s">
        <v>18</v>
      </c>
      <c r="L34" s="4" t="s">
        <v>91</v>
      </c>
    </row>
    <row r="35" spans="1:12" x14ac:dyDescent="0.3">
      <c r="A35" s="4">
        <v>31</v>
      </c>
      <c r="B35" s="4" t="s">
        <v>92</v>
      </c>
      <c r="C35" s="4" t="s">
        <v>93</v>
      </c>
      <c r="D35" s="5">
        <v>1</v>
      </c>
      <c r="E35" s="6">
        <v>813.97</v>
      </c>
      <c r="F35" s="7">
        <f t="shared" si="0"/>
        <v>813.97</v>
      </c>
      <c r="G35" s="8" t="s">
        <v>64</v>
      </c>
      <c r="H35" s="7">
        <f t="shared" si="1"/>
        <v>0</v>
      </c>
      <c r="I35" s="4" t="s">
        <v>16</v>
      </c>
      <c r="J35" s="4" t="s">
        <v>17</v>
      </c>
      <c r="K35" s="9" t="s">
        <v>18</v>
      </c>
      <c r="L35" s="4"/>
    </row>
    <row r="36" spans="1:12" x14ac:dyDescent="0.3">
      <c r="A36" s="4">
        <v>32</v>
      </c>
      <c r="B36" s="4" t="s">
        <v>62</v>
      </c>
      <c r="C36" s="4" t="s">
        <v>94</v>
      </c>
      <c r="D36" s="5">
        <v>1</v>
      </c>
      <c r="E36" s="6">
        <v>50</v>
      </c>
      <c r="F36" s="7">
        <f t="shared" si="0"/>
        <v>50</v>
      </c>
      <c r="G36" s="8"/>
      <c r="H36" s="7">
        <f t="shared" si="1"/>
        <v>50</v>
      </c>
      <c r="I36" s="10" t="s">
        <v>54</v>
      </c>
      <c r="J36" s="4" t="s">
        <v>55</v>
      </c>
      <c r="K36" s="4"/>
      <c r="L36" s="4" t="s">
        <v>95</v>
      </c>
    </row>
    <row r="37" spans="1:12" x14ac:dyDescent="0.3">
      <c r="A37" s="4">
        <v>33</v>
      </c>
      <c r="B37" s="4" t="s">
        <v>62</v>
      </c>
      <c r="C37" s="4" t="s">
        <v>96</v>
      </c>
      <c r="D37" s="5">
        <v>1</v>
      </c>
      <c r="E37" s="6">
        <v>0</v>
      </c>
      <c r="F37" s="7">
        <f t="shared" si="0"/>
        <v>0</v>
      </c>
      <c r="G37" s="8" t="s">
        <v>64</v>
      </c>
      <c r="H37" s="7">
        <f t="shared" si="1"/>
        <v>0</v>
      </c>
      <c r="I37" s="10" t="s">
        <v>54</v>
      </c>
      <c r="J37" s="4" t="s">
        <v>97</v>
      </c>
      <c r="K37" s="4"/>
      <c r="L37" s="4"/>
    </row>
    <row r="39" spans="1:12" x14ac:dyDescent="0.3">
      <c r="C39" s="11" t="s">
        <v>98</v>
      </c>
      <c r="H39" s="12">
        <f>SUM(F5:F37)</f>
        <v>9844.9800000000014</v>
      </c>
    </row>
    <row r="40" spans="1:12" x14ac:dyDescent="0.3">
      <c r="C40" s="11" t="s">
        <v>99</v>
      </c>
      <c r="H40" s="12">
        <f>SUM(F5:F37)-SUM(H5:H37)</f>
        <v>5994.7500000000018</v>
      </c>
    </row>
    <row r="41" spans="1:12" ht="15.6" x14ac:dyDescent="0.3">
      <c r="C41" s="13" t="s">
        <v>100</v>
      </c>
      <c r="H41" s="14">
        <f>SUM(H5:H37)</f>
        <v>3850.23</v>
      </c>
    </row>
    <row r="42" spans="1:12" x14ac:dyDescent="0.3">
      <c r="C42" s="11" t="s">
        <v>101</v>
      </c>
      <c r="H42" s="12">
        <f>SUMIFS(H5:H37,I5:I37,"TAHMİNİ – doğrulanmadı")</f>
        <v>333</v>
      </c>
    </row>
    <row r="44" spans="1:12" x14ac:dyDescent="0.3">
      <c r="C44" s="15" t="s">
        <v>102</v>
      </c>
    </row>
    <row r="45" spans="1:12" x14ac:dyDescent="0.3">
      <c r="C45" s="16" t="s">
        <v>103</v>
      </c>
    </row>
    <row r="46" spans="1:12" x14ac:dyDescent="0.3">
      <c r="C46" s="16" t="s">
        <v>104</v>
      </c>
    </row>
    <row r="47" spans="1:12" x14ac:dyDescent="0.3">
      <c r="C47" s="16" t="s">
        <v>105</v>
      </c>
    </row>
    <row r="48" spans="1:12" x14ac:dyDescent="0.3">
      <c r="C48" s="16" t="s">
        <v>106</v>
      </c>
    </row>
    <row r="49" spans="3:3" x14ac:dyDescent="0.3">
      <c r="C49" s="16" t="s">
        <v>107</v>
      </c>
    </row>
  </sheetData>
  <mergeCells count="1">
    <mergeCell ref="A2:L2"/>
  </mergeCells>
  <conditionalFormatting sqref="A5:L37">
    <cfRule type="expression" dxfId="0" priority="2">
      <formula>OR($G5="✓",$G5=1)</formula>
    </cfRule>
  </conditionalFormatting>
  <dataValidations count="1">
    <dataValidation type="list" allowBlank="1" error="Sadece ✓ seçin veya boş bırakın" sqref="G5:G37" xr:uid="{00000000-0002-0000-0000-000000000000}">
      <formula1>"✓"</formula1>
      <formula2>0</formula2>
    </dataValidation>
  </dataValidations>
  <hyperlinks>
    <hyperlink ref="K5" r:id="rId1" xr:uid="{00000000-0004-0000-0000-000000000000}"/>
    <hyperlink ref="K6" r:id="rId2" xr:uid="{00000000-0004-0000-0000-000001000000}"/>
    <hyperlink ref="K7" r:id="rId3" xr:uid="{00000000-0004-0000-0000-000002000000}"/>
    <hyperlink ref="K8" r:id="rId4" xr:uid="{00000000-0004-0000-0000-000003000000}"/>
    <hyperlink ref="K9" r:id="rId5" xr:uid="{00000000-0004-0000-0000-000004000000}"/>
    <hyperlink ref="K10" r:id="rId6" xr:uid="{00000000-0004-0000-0000-000005000000}"/>
    <hyperlink ref="K11" r:id="rId7" xr:uid="{00000000-0004-0000-0000-000006000000}"/>
    <hyperlink ref="K12" r:id="rId8" xr:uid="{00000000-0004-0000-0000-000007000000}"/>
    <hyperlink ref="K13" r:id="rId9" xr:uid="{00000000-0004-0000-0000-000008000000}"/>
    <hyperlink ref="K14" r:id="rId10" xr:uid="{00000000-0004-0000-0000-000009000000}"/>
    <hyperlink ref="K15" r:id="rId11" xr:uid="{00000000-0004-0000-0000-00000A000000}"/>
    <hyperlink ref="K16" r:id="rId12" xr:uid="{00000000-0004-0000-0000-00000B000000}"/>
    <hyperlink ref="K17" r:id="rId13" xr:uid="{00000000-0004-0000-0000-00000C000000}"/>
    <hyperlink ref="K18" r:id="rId14" xr:uid="{00000000-0004-0000-0000-00000D000000}"/>
    <hyperlink ref="K19" r:id="rId15" xr:uid="{00000000-0004-0000-0000-00000E000000}"/>
    <hyperlink ref="K21" r:id="rId16" xr:uid="{00000000-0004-0000-0000-00000F000000}"/>
    <hyperlink ref="K24" r:id="rId17" xr:uid="{00000000-0004-0000-0000-000010000000}"/>
    <hyperlink ref="K25" r:id="rId18" xr:uid="{00000000-0004-0000-0000-000011000000}"/>
    <hyperlink ref="K26" r:id="rId19" xr:uid="{00000000-0004-0000-0000-000012000000}"/>
    <hyperlink ref="K28" r:id="rId20" xr:uid="{00000000-0004-0000-0000-000013000000}"/>
    <hyperlink ref="K29" r:id="rId21" xr:uid="{00000000-0004-0000-0000-000014000000}"/>
    <hyperlink ref="K31" r:id="rId22" xr:uid="{00000000-0004-0000-0000-000015000000}"/>
    <hyperlink ref="K33" r:id="rId23" xr:uid="{00000000-0004-0000-0000-000016000000}"/>
    <hyperlink ref="K34" r:id="rId24" xr:uid="{00000000-0004-0000-0000-000017000000}"/>
    <hyperlink ref="K35" r:id="rId25" xr:uid="{00000000-0004-0000-0000-000018000000}"/>
  </hyperlinks>
  <pageMargins left="0.75" right="0.75" top="1" bottom="1" header="0.511811023622047" footer="0.511811023622047"/>
  <pageSetup paperSize="9" orientation="portrait" horizontalDpi="300" verticalDpi="300"/>
  <legacy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Fiyat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ismail kipritci</cp:lastModifiedBy>
  <cp:revision>0</cp:revision>
  <dcterms:created xsi:type="dcterms:W3CDTF">2026-10-23T16:22:43Z</dcterms:created>
  <dcterms:modified xsi:type="dcterms:W3CDTF">2026-10-24T07:56:20Z</dcterms:modified>
  <dc:language>en-US</dc:language>
</cp:coreProperties>
</file>